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AE87195D-F08E-44D5-9A4B-B392821366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edit Scorecard" sheetId="1" r:id="rId1"/>
    <sheet name="Dropdown Lis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1" l="1"/>
  <c r="Y3" i="1"/>
  <c r="U3" i="1"/>
  <c r="S3" i="1"/>
  <c r="Q3" i="1"/>
  <c r="O3" i="1"/>
  <c r="M3" i="1"/>
  <c r="K3" i="1"/>
  <c r="I3" i="1"/>
  <c r="G3" i="1"/>
  <c r="D2" i="1" l="1"/>
  <c r="E2" i="1" s="1"/>
</calcChain>
</file>

<file path=xl/sharedStrings.xml><?xml version="1.0" encoding="utf-8"?>
<sst xmlns="http://schemas.openxmlformats.org/spreadsheetml/2006/main" count="213" uniqueCount="103">
  <si>
    <t>BASE SCORE</t>
  </si>
  <si>
    <t>BASE ODDS OF DEFAULT</t>
  </si>
  <si>
    <t>POINTS TO DOUBLE SCORE</t>
  </si>
  <si>
    <t>DEFAULT LOG-ODDS</t>
  </si>
  <si>
    <t>CREDIT SCORE</t>
  </si>
  <si>
    <t>ISSUE DATE</t>
  </si>
  <si>
    <t>ADDRESS STATE</t>
  </si>
  <si>
    <t>REVENUE (UPPER BOUNDS)</t>
  </si>
  <si>
    <t>TOTAL DEBT / MONTHLY INCOME (UPPER BOUNDS)</t>
  </si>
  <si>
    <t>LOAN AMOUNT (UPPER BOUNDS)</t>
  </si>
  <si>
    <t>FICO SCORE (UPPER BOUNDS)</t>
  </si>
  <si>
    <t>LOAN AMOUNT</t>
  </si>
  <si>
    <t>EMPLOYMENT LENGTH</t>
  </si>
  <si>
    <t>HOME OWNERSHIP</t>
  </si>
  <si>
    <t>NEW BORROWER</t>
  </si>
  <si>
    <t>INTERCEPT</t>
  </si>
  <si>
    <t>Choose:</t>
  </si>
  <si>
    <t>AZ</t>
  </si>
  <si>
    <t>Enter:</t>
  </si>
  <si>
    <t>debt_consolidation</t>
  </si>
  <si>
    <t>10+ years</t>
  </si>
  <si>
    <t>Own</t>
  </si>
  <si>
    <t>Yes</t>
  </si>
  <si>
    <t>VALUE:</t>
  </si>
  <si>
    <t>AK</t>
  </si>
  <si>
    <t>&lt; 1 year</t>
  </si>
  <si>
    <t>Rent</t>
  </si>
  <si>
    <t>AL</t>
  </si>
  <si>
    <t>small_business</t>
  </si>
  <si>
    <t>1 year</t>
  </si>
  <si>
    <t>Mortgage</t>
  </si>
  <si>
    <t>No</t>
  </si>
  <si>
    <t>AR</t>
  </si>
  <si>
    <t>home_improvement</t>
  </si>
  <si>
    <t>2 years</t>
  </si>
  <si>
    <t>major_purchase</t>
  </si>
  <si>
    <t>3 years</t>
  </si>
  <si>
    <t>Other</t>
  </si>
  <si>
    <t>CA</t>
  </si>
  <si>
    <t>credit_card</t>
  </si>
  <si>
    <t>4 years</t>
  </si>
  <si>
    <t>CO</t>
  </si>
  <si>
    <t>other</t>
  </si>
  <si>
    <t>5 years</t>
  </si>
  <si>
    <t>CT</t>
  </si>
  <si>
    <t>house</t>
  </si>
  <si>
    <t>6 years</t>
  </si>
  <si>
    <t>DC</t>
  </si>
  <si>
    <t>vacation</t>
  </si>
  <si>
    <t>7 years</t>
  </si>
  <si>
    <t>DE</t>
  </si>
  <si>
    <t>car</t>
  </si>
  <si>
    <t>8 years</t>
  </si>
  <si>
    <t>FL</t>
  </si>
  <si>
    <t>medical</t>
  </si>
  <si>
    <t>9 years</t>
  </si>
  <si>
    <t>GA</t>
  </si>
  <si>
    <t>moving</t>
  </si>
  <si>
    <t>HI</t>
  </si>
  <si>
    <t>renewable_energy</t>
  </si>
  <si>
    <t>Unknown</t>
  </si>
  <si>
    <t>IA</t>
  </si>
  <si>
    <t>wedding</t>
  </si>
  <si>
    <t>ID</t>
  </si>
  <si>
    <t>educational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</si>
  <si>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</si>
  <si>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</si>
  <si>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</si>
  <si>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</si>
  <si>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</si>
  <si>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</si>
  <si>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</si>
  <si>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</si>
  <si>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</si>
  <si>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</si>
  <si>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</si>
  <si>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</si>
  <si>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</si>
  <si>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</si>
  <si>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</si>
  <si>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</si>
  <si>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</si>
  <si>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</si>
  <si>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</si>
  <si>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</si>
  <si>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</si>
  <si>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</si>
  <si>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</si>
  <si>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</si>
  <si>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</si>
  <si>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</si>
  <si>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</si>
  <si>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</si>
  <si>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</si>
  <si>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</si>
  <si>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</si>
  <si>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</si>
  <si>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</si>
  <si>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</si>
  <si>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</si>
  <si>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</si>
  <si>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</si>
  <si>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LOAN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</si>
</sst>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7" fontId="2" fillId="2" borderId="3" xfId="0" applyNumberFormat="1" applyFont="1" applyFill="1" applyBorder="1"/>
    <xf numFmtId="17" fontId="2" fillId="2" borderId="5" xfId="0" applyNumberFormat="1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0" fontId="0" fillId="0" borderId="0" xfId="0" applyNumberFormat="1"/>
    <xf numFmtId="0" fontId="3" fillId="4" borderId="0" xfId="0" applyFont="1" applyFill="1"/>
    <xf numFmtId="17" fontId="0" fillId="0" borderId="0" xfId="0" applyNumberFormat="1"/>
    <xf numFmtId="0" fontId="1" fillId="0" borderId="0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5" fillId="5" borderId="11" xfId="0" applyNumberFormat="1" applyFont="1" applyFill="1" applyBorder="1" applyAlignment="1">
      <alignment horizontal="center" vertical="center" wrapText="1"/>
    </xf>
    <xf numFmtId="17" fontId="6" fillId="6" borderId="15" xfId="0" applyNumberFormat="1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165" fontId="5" fillId="3" borderId="11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5" fontId="1" fillId="2" borderId="16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2"/>
  <sheetViews>
    <sheetView tabSelected="1" workbookViewId="0">
      <pane xSplit="5" ySplit="3" topLeftCell="F4" activePane="bottomRight" state="frozen"/>
      <selection pane="bottomRight" activeCell="D11" sqref="D11"/>
      <selection pane="bottomLeft"/>
      <selection pane="topRight"/>
    </sheetView>
  </sheetViews>
  <sheetFormatPr defaultRowHeight="15"/>
  <cols>
    <col min="1" max="1" width="15.5703125" customWidth="1"/>
    <col min="2" max="2" width="13.140625" customWidth="1"/>
    <col min="3" max="4" width="15.28515625" customWidth="1"/>
    <col min="5" max="5" width="11.5703125" customWidth="1"/>
    <col min="6" max="6" width="7.85546875" bestFit="1" customWidth="1"/>
    <col min="7" max="7" width="9.28515625" customWidth="1"/>
    <col min="8" max="8" width="7.7109375" customWidth="1"/>
    <col min="9" max="9" width="8.85546875" customWidth="1"/>
    <col min="10" max="10" width="11" customWidth="1"/>
    <col min="11" max="11" width="12.28515625" customWidth="1"/>
    <col min="12" max="12" width="7.42578125" bestFit="1" customWidth="1"/>
    <col min="13" max="13" width="12.28515625" customWidth="1"/>
    <col min="14" max="14" width="7.42578125" bestFit="1" customWidth="1"/>
    <col min="15" max="15" width="11" customWidth="1"/>
    <col min="16" max="16" width="7.42578125" bestFit="1" customWidth="1"/>
    <col min="17" max="17" width="9.5703125" customWidth="1"/>
    <col min="18" max="18" width="19" customWidth="1"/>
    <col min="19" max="19" width="18.140625" customWidth="1"/>
    <col min="20" max="20" width="9.42578125" bestFit="1" customWidth="1"/>
    <col min="21" max="21" width="15.5703125" customWidth="1"/>
    <col min="22" max="22" width="9.85546875" bestFit="1" customWidth="1"/>
    <col min="23" max="23" width="13.28515625" customWidth="1"/>
    <col min="24" max="24" width="7.85546875" bestFit="1" customWidth="1"/>
    <col min="25" max="25" width="11.28515625" customWidth="1"/>
    <col min="26" max="26" width="10.5703125" bestFit="1" customWidth="1"/>
    <col min="27" max="27" width="18.5703125" bestFit="1" customWidth="1"/>
    <col min="28" max="28" width="11.5703125" bestFit="1" customWidth="1"/>
    <col min="29" max="29" width="11.5703125" customWidth="1"/>
    <col min="30" max="30" width="24.7109375" bestFit="1" customWidth="1"/>
    <col min="31" max="31" width="13.28515625" bestFit="1" customWidth="1"/>
  </cols>
  <sheetData>
    <row r="1" spans="1:26" ht="62.25" customHeight="1">
      <c r="A1" s="31" t="s">
        <v>0</v>
      </c>
      <c r="B1" s="21" t="s">
        <v>1</v>
      </c>
      <c r="C1" s="21" t="s">
        <v>2</v>
      </c>
      <c r="D1" s="32" t="s">
        <v>3</v>
      </c>
      <c r="E1" s="32" t="s">
        <v>4</v>
      </c>
      <c r="F1" s="29" t="s">
        <v>5</v>
      </c>
      <c r="G1" s="30"/>
      <c r="H1" s="29" t="s">
        <v>6</v>
      </c>
      <c r="I1" s="30"/>
      <c r="J1" s="29" t="s">
        <v>7</v>
      </c>
      <c r="K1" s="30"/>
      <c r="L1" s="29" t="s">
        <v>8</v>
      </c>
      <c r="M1" s="30"/>
      <c r="N1" s="29" t="s">
        <v>9</v>
      </c>
      <c r="O1" s="30"/>
      <c r="P1" s="29" t="s">
        <v>10</v>
      </c>
      <c r="Q1" s="30"/>
      <c r="R1" s="29" t="s">
        <v>11</v>
      </c>
      <c r="S1" s="30"/>
      <c r="T1" s="29" t="s">
        <v>12</v>
      </c>
      <c r="U1" s="30"/>
      <c r="V1" s="29" t="s">
        <v>13</v>
      </c>
      <c r="W1" s="30"/>
      <c r="X1" s="29" t="s">
        <v>14</v>
      </c>
      <c r="Y1" s="30"/>
      <c r="Z1" s="20" t="s">
        <v>15</v>
      </c>
    </row>
    <row r="2" spans="1:26" ht="47.25" customHeight="1">
      <c r="A2" s="28">
        <v>600</v>
      </c>
      <c r="B2" s="24">
        <v>50</v>
      </c>
      <c r="C2" s="22">
        <v>20</v>
      </c>
      <c r="D2" s="34">
        <f>SUM(F3:Z3)</f>
        <v>-4.6063117229894495</v>
      </c>
      <c r="E2" s="36">
        <f>A2-((LN(B2)+D2)*C2/LN(2))</f>
        <v>620.03293779541707</v>
      </c>
      <c r="F2" s="15" t="s">
        <v>16</v>
      </c>
      <c r="G2" s="17">
        <v>39295</v>
      </c>
      <c r="H2" s="15" t="s">
        <v>16</v>
      </c>
      <c r="I2" s="18" t="s">
        <v>17</v>
      </c>
      <c r="J2" s="15" t="s">
        <v>18</v>
      </c>
      <c r="K2" s="18">
        <v>50000</v>
      </c>
      <c r="L2" s="15" t="s">
        <v>18</v>
      </c>
      <c r="M2" s="18">
        <v>9</v>
      </c>
      <c r="N2" s="15" t="s">
        <v>18</v>
      </c>
      <c r="O2" s="18">
        <v>30000</v>
      </c>
      <c r="P2" s="15" t="s">
        <v>18</v>
      </c>
      <c r="Q2" s="18">
        <v>800</v>
      </c>
      <c r="R2" s="15" t="s">
        <v>16</v>
      </c>
      <c r="S2" s="18" t="s">
        <v>19</v>
      </c>
      <c r="T2" s="15" t="s">
        <v>16</v>
      </c>
      <c r="U2" s="18" t="s">
        <v>20</v>
      </c>
      <c r="V2" s="15" t="s">
        <v>16</v>
      </c>
      <c r="W2" s="18" t="s">
        <v>21</v>
      </c>
      <c r="X2" s="15" t="s">
        <v>16</v>
      </c>
      <c r="Y2" s="18" t="s">
        <v>22</v>
      </c>
      <c r="Z2" s="26">
        <v>4.3324720000000001</v>
      </c>
    </row>
    <row r="3" spans="1:26" ht="47.25" customHeight="1">
      <c r="A3" s="23"/>
      <c r="B3" s="25"/>
      <c r="C3" s="23"/>
      <c r="D3" s="35"/>
      <c r="E3" s="37"/>
      <c r="F3" s="33" t="s">
        <v>23</v>
      </c>
      <c r="G3" s="19">
        <f>IF(G2="","",_xlfn.XLOOKUP(G2,F4:F142,G4:G142,"Not Found",0,1))</f>
        <v>-0.85348794206057899</v>
      </c>
      <c r="H3" s="33" t="s">
        <v>23</v>
      </c>
      <c r="I3" s="16">
        <f>IF(I2="","",_xlfn.XLOOKUP(I2,H4:H54,I4:I54,"Not Found",0,1))</f>
        <v>-1.4161496613287501</v>
      </c>
      <c r="J3" s="33" t="s">
        <v>23</v>
      </c>
      <c r="K3" s="16">
        <f>IF(K2="","",_xlfn.XLOOKUP(K2,J4:J17,K4:K17,"Not Found",1,1))</f>
        <v>-1.4945727590647899</v>
      </c>
      <c r="L3" s="33" t="s">
        <v>23</v>
      </c>
      <c r="M3" s="16">
        <f>IF(M2="","",_xlfn.XLOOKUP(M2,L4:L17,M4:M17,"Not Found",1,1))</f>
        <v>-1.2167557659617001</v>
      </c>
      <c r="N3" s="33" t="s">
        <v>23</v>
      </c>
      <c r="O3" s="16">
        <f>IF(O2="","",_xlfn.XLOOKUP(O2,N4:N17,O4:O17,"Not Found",1,1))</f>
        <v>-2.0808080927652499</v>
      </c>
      <c r="P3" s="33" t="s">
        <v>23</v>
      </c>
      <c r="Q3" s="16">
        <f>IF(Q2="","",_xlfn.XLOOKUP(Q2,P4:P17,Q4:Q17,"Not Found",1,1))</f>
        <v>-2.2684908568733002</v>
      </c>
      <c r="R3" s="33" t="s">
        <v>23</v>
      </c>
      <c r="S3" s="16">
        <f>IF(S2="","",_xlfn.XLOOKUP(S2,R4:R17,S4:S17,"Not Found",0,1))</f>
        <v>-1.13600675637784</v>
      </c>
      <c r="T3" s="33" t="s">
        <v>23</v>
      </c>
      <c r="U3" s="16">
        <f>IF(U2="","",_xlfn.XLOOKUP(U2,T4:T15,U4:U15,"Not Found",0,1))</f>
        <v>-1.3415196073142199</v>
      </c>
      <c r="V3" s="33" t="s">
        <v>23</v>
      </c>
      <c r="W3" s="16">
        <f>IF(W2="","",_xlfn.XLOOKUP(W2,V4:V7,W4:W7,"Not Found",0,1))</f>
        <v>-1.1155016367200501</v>
      </c>
      <c r="X3" s="33" t="s">
        <v>23</v>
      </c>
      <c r="Y3" s="16">
        <f>IF(Y2="","",_xlfn.XLOOKUP(Y2,X4:X5,Y4:Y5,"Not Found",0,1))</f>
        <v>8.3169813554770293</v>
      </c>
      <c r="Z3" s="27"/>
    </row>
    <row r="4" spans="1:26">
      <c r="F4" s="1">
        <v>39234</v>
      </c>
      <c r="G4" s="6">
        <v>-1.91250385920067</v>
      </c>
      <c r="H4" s="3" t="s">
        <v>24</v>
      </c>
      <c r="I4" s="6">
        <v>-1.41623622262507</v>
      </c>
      <c r="J4" s="3">
        <v>30960</v>
      </c>
      <c r="K4" s="6">
        <v>-1.3436056807082899</v>
      </c>
      <c r="L4" s="3">
        <v>6.07</v>
      </c>
      <c r="M4" s="6">
        <v>-1.26027820655333</v>
      </c>
      <c r="N4" s="3">
        <v>4000</v>
      </c>
      <c r="O4" s="6">
        <v>-3.0290827262225699</v>
      </c>
      <c r="P4" s="3">
        <v>662</v>
      </c>
      <c r="Q4" s="5">
        <v>-0.95361478196934302</v>
      </c>
      <c r="R4" s="3" t="s">
        <v>19</v>
      </c>
      <c r="S4" s="6">
        <v>-1.13600675637784</v>
      </c>
      <c r="T4" s="3" t="s">
        <v>25</v>
      </c>
      <c r="U4" s="6">
        <v>-1.2389347585627599</v>
      </c>
      <c r="V4" s="3" t="s">
        <v>26</v>
      </c>
      <c r="W4" s="6">
        <v>-0.98882879877158303</v>
      </c>
      <c r="X4" s="3" t="s">
        <v>22</v>
      </c>
      <c r="Y4" s="7">
        <v>8.3169813554770293</v>
      </c>
      <c r="Z4" s="14"/>
    </row>
    <row r="5" spans="1:26">
      <c r="F5" s="1">
        <v>39264</v>
      </c>
      <c r="G5" s="6">
        <v>-1.97901861405127</v>
      </c>
      <c r="H5" s="3" t="s">
        <v>27</v>
      </c>
      <c r="I5" s="6">
        <v>-1.17750977931951</v>
      </c>
      <c r="J5" s="3">
        <v>38400</v>
      </c>
      <c r="K5" s="6">
        <v>-1.4065181001282501</v>
      </c>
      <c r="L5" s="3">
        <v>8.7899999999999991</v>
      </c>
      <c r="M5" s="6">
        <v>-1.2504267322626099</v>
      </c>
      <c r="N5" s="3">
        <v>5500</v>
      </c>
      <c r="O5" s="6">
        <v>-2.8185873869668598</v>
      </c>
      <c r="P5" s="3">
        <v>667</v>
      </c>
      <c r="Q5" s="5">
        <v>-1.01053758868427</v>
      </c>
      <c r="R5" s="3" t="s">
        <v>28</v>
      </c>
      <c r="S5" s="6">
        <v>-0.74641629713018298</v>
      </c>
      <c r="T5" s="3" t="s">
        <v>29</v>
      </c>
      <c r="U5" s="6">
        <v>-1.2393982310503999</v>
      </c>
      <c r="V5" s="3" t="s">
        <v>30</v>
      </c>
      <c r="W5" s="6">
        <v>-1.29668586129568</v>
      </c>
      <c r="X5" s="4" t="s">
        <v>31</v>
      </c>
      <c r="Y5" s="8">
        <v>12.8371990949483</v>
      </c>
    </row>
    <row r="6" spans="1:26">
      <c r="F6" s="1">
        <v>39295</v>
      </c>
      <c r="G6" s="6">
        <v>-0.85348794206057899</v>
      </c>
      <c r="H6" s="3" t="s">
        <v>32</v>
      </c>
      <c r="I6" s="6">
        <v>-1.1442790395320901</v>
      </c>
      <c r="J6" s="3">
        <v>44179</v>
      </c>
      <c r="K6" s="6">
        <v>-1.44704976352601</v>
      </c>
      <c r="L6" s="3">
        <v>10.89</v>
      </c>
      <c r="M6" s="6">
        <v>-1.2167557659617001</v>
      </c>
      <c r="N6" s="3">
        <v>7000</v>
      </c>
      <c r="O6" s="6">
        <v>-2.9151322449934001</v>
      </c>
      <c r="P6" s="3">
        <v>672</v>
      </c>
      <c r="Q6" s="5">
        <v>-1.0730235043101699</v>
      </c>
      <c r="R6" s="3" t="s">
        <v>33</v>
      </c>
      <c r="S6" s="6">
        <v>-1.3326631841313299</v>
      </c>
      <c r="T6" s="3" t="s">
        <v>34</v>
      </c>
      <c r="U6" s="6">
        <v>-1.28196350943573</v>
      </c>
      <c r="V6" s="3" t="s">
        <v>21</v>
      </c>
      <c r="W6" s="7">
        <v>-1.1155016367200501</v>
      </c>
    </row>
    <row r="7" spans="1:26">
      <c r="F7" s="1">
        <v>39326</v>
      </c>
      <c r="G7" s="6">
        <v>-1.13747525473917</v>
      </c>
      <c r="H7" s="3" t="s">
        <v>17</v>
      </c>
      <c r="I7" s="6">
        <v>-1.4161496613287501</v>
      </c>
      <c r="J7" s="3">
        <v>50000</v>
      </c>
      <c r="K7" s="6">
        <v>-1.4945727590647899</v>
      </c>
      <c r="L7" s="3">
        <v>12.69</v>
      </c>
      <c r="M7" s="6">
        <v>-1.17091841088071</v>
      </c>
      <c r="N7" s="3">
        <v>8075</v>
      </c>
      <c r="O7" s="6">
        <v>-2.7463912068523202</v>
      </c>
      <c r="P7" s="3">
        <v>677</v>
      </c>
      <c r="Q7" s="5">
        <v>-1.1145156082763801</v>
      </c>
      <c r="R7" s="3" t="s">
        <v>35</v>
      </c>
      <c r="S7" s="6">
        <v>-1.28232677104821</v>
      </c>
      <c r="T7" s="3" t="s">
        <v>36</v>
      </c>
      <c r="U7" s="6">
        <v>-1.26802028097707</v>
      </c>
      <c r="V7" s="4" t="s">
        <v>37</v>
      </c>
      <c r="W7" s="8">
        <v>-1.22239935459947</v>
      </c>
    </row>
    <row r="8" spans="1:26">
      <c r="F8" s="1">
        <v>39356</v>
      </c>
      <c r="G8" s="6">
        <v>-0.65377994046687304</v>
      </c>
      <c r="H8" s="3" t="s">
        <v>38</v>
      </c>
      <c r="I8" s="6">
        <v>-1.4194854584026899</v>
      </c>
      <c r="J8" s="3">
        <v>55000</v>
      </c>
      <c r="K8" s="6">
        <v>-1.5250003726543999</v>
      </c>
      <c r="L8" s="3">
        <v>14.37</v>
      </c>
      <c r="M8" s="6">
        <v>-1.1343962903678899</v>
      </c>
      <c r="N8" s="3">
        <v>10000</v>
      </c>
      <c r="O8" s="6">
        <v>-2.6142025502695301</v>
      </c>
      <c r="P8" s="3">
        <v>682</v>
      </c>
      <c r="Q8" s="5">
        <v>-1.1537802849988099</v>
      </c>
      <c r="R8" s="3" t="s">
        <v>39</v>
      </c>
      <c r="S8" s="6">
        <v>-1.3748889729924501</v>
      </c>
      <c r="T8" s="3" t="s">
        <v>40</v>
      </c>
      <c r="U8" s="7">
        <v>-1.28476467933454</v>
      </c>
    </row>
    <row r="9" spans="1:26">
      <c r="F9" s="1">
        <v>39387</v>
      </c>
      <c r="G9" s="6">
        <v>-0.62204344447591897</v>
      </c>
      <c r="H9" s="3" t="s">
        <v>41</v>
      </c>
      <c r="I9" s="6">
        <v>-1.7124457327865601</v>
      </c>
      <c r="J9" s="3">
        <v>60000</v>
      </c>
      <c r="K9" s="6">
        <v>-1.52953263068123</v>
      </c>
      <c r="L9" s="3">
        <v>16</v>
      </c>
      <c r="M9" s="6">
        <v>-1.0932608493953799</v>
      </c>
      <c r="N9" s="3">
        <v>10800</v>
      </c>
      <c r="O9" s="6">
        <v>-2.0178780370297398</v>
      </c>
      <c r="P9" s="3">
        <v>687</v>
      </c>
      <c r="Q9" s="5">
        <v>-1.23562905547028</v>
      </c>
      <c r="R9" s="3" t="s">
        <v>42</v>
      </c>
      <c r="S9" s="6">
        <v>-1.14470877603708</v>
      </c>
      <c r="T9" s="3" t="s">
        <v>43</v>
      </c>
      <c r="U9" s="7">
        <v>-1.2888449838667899</v>
      </c>
    </row>
    <row r="10" spans="1:26">
      <c r="F10" s="1">
        <v>39417</v>
      </c>
      <c r="G10" s="6">
        <v>-0.89585281275724005</v>
      </c>
      <c r="H10" s="3" t="s">
        <v>44</v>
      </c>
      <c r="I10" s="6">
        <v>-1.5708779416171801</v>
      </c>
      <c r="J10" s="3">
        <v>65000</v>
      </c>
      <c r="K10" s="6">
        <v>-1.5760875689670799</v>
      </c>
      <c r="L10" s="3">
        <v>17.64</v>
      </c>
      <c r="M10" s="6">
        <v>-1.04965377988431</v>
      </c>
      <c r="N10" s="3">
        <v>12000</v>
      </c>
      <c r="O10" s="6">
        <v>-2.44390246843184</v>
      </c>
      <c r="P10" s="3">
        <v>692</v>
      </c>
      <c r="Q10" s="5">
        <v>-1.2896473020430299</v>
      </c>
      <c r="R10" s="3" t="s">
        <v>45</v>
      </c>
      <c r="S10" s="6">
        <v>-1.0821833702149399</v>
      </c>
      <c r="T10" s="3" t="s">
        <v>46</v>
      </c>
      <c r="U10" s="7">
        <v>-1.3003446158518801</v>
      </c>
    </row>
    <row r="11" spans="1:26">
      <c r="F11" s="1">
        <v>39448</v>
      </c>
      <c r="G11" s="6">
        <v>-0.78861407960679297</v>
      </c>
      <c r="H11" s="3" t="s">
        <v>47</v>
      </c>
      <c r="I11" s="6">
        <v>-1.89363101093313</v>
      </c>
      <c r="J11" s="3">
        <v>72000</v>
      </c>
      <c r="K11" s="6">
        <v>-1.62954459587457</v>
      </c>
      <c r="L11" s="3">
        <v>19.309999999999999</v>
      </c>
      <c r="M11" s="6">
        <v>-1.0111046345213199</v>
      </c>
      <c r="N11" s="3">
        <v>14900</v>
      </c>
      <c r="O11" s="6">
        <v>-2.1919109501353402</v>
      </c>
      <c r="P11" s="3">
        <v>697</v>
      </c>
      <c r="Q11" s="5">
        <v>-1.3263791560896001</v>
      </c>
      <c r="R11" s="3" t="s">
        <v>48</v>
      </c>
      <c r="S11" s="6">
        <v>-1.25852182018459</v>
      </c>
      <c r="T11" s="3" t="s">
        <v>49</v>
      </c>
      <c r="U11" s="7">
        <v>-1.2935477363100301</v>
      </c>
    </row>
    <row r="12" spans="1:26">
      <c r="F12" s="1">
        <v>39479</v>
      </c>
      <c r="G12" s="6">
        <v>-1.21564520772492</v>
      </c>
      <c r="H12" s="3" t="s">
        <v>50</v>
      </c>
      <c r="I12" s="6">
        <v>-1.4160230623602501</v>
      </c>
      <c r="J12" s="3">
        <v>80000</v>
      </c>
      <c r="K12" s="6">
        <v>-1.6652155788388201</v>
      </c>
      <c r="L12" s="3">
        <v>21.08</v>
      </c>
      <c r="M12" s="6">
        <v>-0.97048705749301001</v>
      </c>
      <c r="N12" s="3">
        <v>16000</v>
      </c>
      <c r="O12" s="6">
        <v>-2.3244775958302801</v>
      </c>
      <c r="P12" s="3">
        <v>702</v>
      </c>
      <c r="Q12" s="5">
        <v>-1.3914271466049399</v>
      </c>
      <c r="R12" s="3" t="s">
        <v>51</v>
      </c>
      <c r="S12" s="6">
        <v>-1.5256125587209699</v>
      </c>
      <c r="T12" s="3" t="s">
        <v>52</v>
      </c>
      <c r="U12" s="7">
        <v>-1.2694900210162501</v>
      </c>
    </row>
    <row r="13" spans="1:26">
      <c r="F13" s="1">
        <v>39508</v>
      </c>
      <c r="G13" s="6">
        <v>-1.15788596632595</v>
      </c>
      <c r="H13" s="3" t="s">
        <v>53</v>
      </c>
      <c r="I13" s="6">
        <v>-1.30965266681405</v>
      </c>
      <c r="J13" s="3">
        <v>88000</v>
      </c>
      <c r="K13" s="6">
        <v>-1.71839667221185</v>
      </c>
      <c r="L13" s="3">
        <v>23.02</v>
      </c>
      <c r="M13" s="6">
        <v>-0.91775176372438905</v>
      </c>
      <c r="N13" s="3">
        <v>18500</v>
      </c>
      <c r="O13" s="6">
        <v>-2.0965080742751998</v>
      </c>
      <c r="P13" s="3">
        <v>712</v>
      </c>
      <c r="Q13" s="5">
        <v>-1.51487980062246</v>
      </c>
      <c r="R13" s="3" t="s">
        <v>54</v>
      </c>
      <c r="S13" s="6">
        <v>-1.0992839651634301</v>
      </c>
      <c r="T13" s="3" t="s">
        <v>55</v>
      </c>
      <c r="U13" s="7">
        <v>-1.2718687268134601</v>
      </c>
    </row>
    <row r="14" spans="1:26">
      <c r="F14" s="1">
        <v>39539</v>
      </c>
      <c r="G14" s="6">
        <v>-0.95576272813142404</v>
      </c>
      <c r="H14" s="3" t="s">
        <v>56</v>
      </c>
      <c r="I14" s="6">
        <v>-1.4990302287999999</v>
      </c>
      <c r="J14" s="3">
        <v>100000</v>
      </c>
      <c r="K14" s="6">
        <v>-1.7751883707826399</v>
      </c>
      <c r="L14" s="3">
        <v>25.2</v>
      </c>
      <c r="M14" s="6">
        <v>-0.87646540576773002</v>
      </c>
      <c r="N14" s="3">
        <v>20400</v>
      </c>
      <c r="O14" s="6">
        <v>-2.1683111038117899</v>
      </c>
      <c r="P14" s="3">
        <v>717</v>
      </c>
      <c r="Q14" s="5">
        <v>-1.6061509725559999</v>
      </c>
      <c r="R14" s="3" t="s">
        <v>57</v>
      </c>
      <c r="S14" s="6">
        <v>-1.04173584178894</v>
      </c>
      <c r="T14" s="3" t="s">
        <v>20</v>
      </c>
      <c r="U14" s="7">
        <v>-1.3415196073142199</v>
      </c>
    </row>
    <row r="15" spans="1:26">
      <c r="F15" s="1">
        <v>39569</v>
      </c>
      <c r="G15" s="6">
        <v>-1.1707719206453</v>
      </c>
      <c r="H15" s="3" t="s">
        <v>58</v>
      </c>
      <c r="I15" s="6">
        <v>-1.3763314619282001</v>
      </c>
      <c r="J15" s="3">
        <v>115000</v>
      </c>
      <c r="K15" s="6">
        <v>-1.9070095905491</v>
      </c>
      <c r="L15" s="3">
        <v>27.88</v>
      </c>
      <c r="M15" s="6">
        <v>-0.80634988501159399</v>
      </c>
      <c r="N15" s="3">
        <v>25000</v>
      </c>
      <c r="O15" s="6">
        <v>-2.1362126126391798</v>
      </c>
      <c r="P15" s="3">
        <v>732</v>
      </c>
      <c r="Q15" s="5">
        <v>-1.7281593777454101</v>
      </c>
      <c r="R15" s="3" t="s">
        <v>59</v>
      </c>
      <c r="S15" s="6">
        <v>-1.03599662628135</v>
      </c>
      <c r="T15" s="4" t="s">
        <v>60</v>
      </c>
      <c r="U15" s="8">
        <v>-0.90698881931513697</v>
      </c>
    </row>
    <row r="16" spans="1:26">
      <c r="F16" s="1">
        <v>39600</v>
      </c>
      <c r="G16" s="6">
        <v>-1.38332997981148</v>
      </c>
      <c r="H16" s="3" t="s">
        <v>61</v>
      </c>
      <c r="I16" s="6">
        <v>-1.51696401489542</v>
      </c>
      <c r="J16" s="3">
        <v>144000</v>
      </c>
      <c r="K16" s="6">
        <v>-1.87432600047442</v>
      </c>
      <c r="L16" s="3">
        <v>31.49</v>
      </c>
      <c r="M16" s="6">
        <v>-0.73023633657757703</v>
      </c>
      <c r="N16" s="3">
        <v>30000</v>
      </c>
      <c r="O16" s="6">
        <v>-2.0808080927652499</v>
      </c>
      <c r="P16" s="3">
        <v>752</v>
      </c>
      <c r="Q16" s="5">
        <v>-1.9268366087880699</v>
      </c>
      <c r="R16" s="3" t="s">
        <v>62</v>
      </c>
      <c r="S16" s="7">
        <v>-1.7036820508622199</v>
      </c>
    </row>
    <row r="17" spans="6:19">
      <c r="F17" s="1">
        <v>39630</v>
      </c>
      <c r="G17" s="6">
        <v>-1.2653719094681799</v>
      </c>
      <c r="H17" s="3" t="s">
        <v>63</v>
      </c>
      <c r="I17" s="6">
        <v>-1.49683225289776</v>
      </c>
      <c r="J17" s="4">
        <v>10999200</v>
      </c>
      <c r="K17" s="10">
        <v>-2.0138669540685501</v>
      </c>
      <c r="L17" s="4">
        <v>999</v>
      </c>
      <c r="M17" s="10">
        <v>-0.61138393703460103</v>
      </c>
      <c r="N17" s="4">
        <v>40000</v>
      </c>
      <c r="O17" s="10">
        <v>-1.96377436920889</v>
      </c>
      <c r="P17" s="4">
        <v>847.5</v>
      </c>
      <c r="Q17" s="9">
        <v>-2.2684908568733002</v>
      </c>
      <c r="R17" s="4" t="s">
        <v>64</v>
      </c>
      <c r="S17" s="8">
        <v>-1.10584507681065</v>
      </c>
    </row>
    <row r="18" spans="6:19">
      <c r="F18" s="1">
        <v>39661</v>
      </c>
      <c r="G18" s="6">
        <v>-1.8996404335085999</v>
      </c>
      <c r="H18" s="3" t="s">
        <v>65</v>
      </c>
      <c r="I18" s="7">
        <v>-1.51492174988874</v>
      </c>
    </row>
    <row r="19" spans="6:19">
      <c r="F19" s="1">
        <v>39692</v>
      </c>
      <c r="G19" s="6">
        <v>-1.94080516740029</v>
      </c>
      <c r="H19" s="3" t="s">
        <v>66</v>
      </c>
      <c r="I19" s="7">
        <v>-1.31293397979048</v>
      </c>
    </row>
    <row r="20" spans="6:19">
      <c r="F20" s="1">
        <v>39722</v>
      </c>
      <c r="G20" s="6">
        <v>-1.50443670076324</v>
      </c>
      <c r="H20" s="3" t="s">
        <v>67</v>
      </c>
      <c r="I20" s="7">
        <v>-1.6005915877684</v>
      </c>
    </row>
    <row r="21" spans="6:19">
      <c r="F21" s="1">
        <v>39753</v>
      </c>
      <c r="G21" s="6">
        <v>-1.3968555168718</v>
      </c>
      <c r="H21" s="3" t="s">
        <v>68</v>
      </c>
      <c r="I21" s="7">
        <v>-1.3440798505175799</v>
      </c>
    </row>
    <row r="22" spans="6:19">
      <c r="F22" s="1">
        <v>39783</v>
      </c>
      <c r="G22" s="6">
        <v>-1.5359898212288201</v>
      </c>
      <c r="H22" s="3" t="s">
        <v>69</v>
      </c>
      <c r="I22" s="7">
        <v>-1.2144644971794401</v>
      </c>
    </row>
    <row r="23" spans="6:19">
      <c r="F23" s="1">
        <v>39814</v>
      </c>
      <c r="G23" s="6">
        <v>-1.5412304048918499</v>
      </c>
      <c r="H23" s="3" t="s">
        <v>70</v>
      </c>
      <c r="I23" s="7">
        <v>-1.47146289139784</v>
      </c>
    </row>
    <row r="24" spans="6:19">
      <c r="F24" s="1">
        <v>39845</v>
      </c>
      <c r="G24" s="6">
        <v>-1.5844627995746501</v>
      </c>
      <c r="H24" s="3" t="s">
        <v>71</v>
      </c>
      <c r="I24" s="7">
        <v>-1.31696729748471</v>
      </c>
    </row>
    <row r="25" spans="6:19">
      <c r="F25" s="1">
        <v>39873</v>
      </c>
      <c r="G25" s="6">
        <v>-1.80649137902076</v>
      </c>
      <c r="H25" s="3" t="s">
        <v>72</v>
      </c>
      <c r="I25" s="7">
        <v>-1.9184043827733099</v>
      </c>
    </row>
    <row r="26" spans="6:19">
      <c r="F26" s="1">
        <v>39904</v>
      </c>
      <c r="G26" s="6">
        <v>-1.66479298830269</v>
      </c>
      <c r="H26" s="3" t="s">
        <v>73</v>
      </c>
      <c r="I26" s="7">
        <v>-1.38867414476162</v>
      </c>
    </row>
    <row r="27" spans="6:19">
      <c r="F27" s="1">
        <v>39934</v>
      </c>
      <c r="G27" s="6">
        <v>-1.6443451870775301</v>
      </c>
      <c r="H27" s="3" t="s">
        <v>74</v>
      </c>
      <c r="I27" s="7">
        <v>-1.4170770691258601</v>
      </c>
    </row>
    <row r="28" spans="6:19">
      <c r="F28" s="1">
        <v>39965</v>
      </c>
      <c r="G28" s="6">
        <v>-1.6614424565664001</v>
      </c>
      <c r="H28" s="3" t="s">
        <v>75</v>
      </c>
      <c r="I28" s="7">
        <v>-1.31106573654616</v>
      </c>
    </row>
    <row r="29" spans="6:19">
      <c r="F29" s="1">
        <v>39995</v>
      </c>
      <c r="G29" s="6">
        <v>-1.7215337941611999</v>
      </c>
      <c r="H29" s="3" t="s">
        <v>76</v>
      </c>
      <c r="I29" s="7">
        <v>-1.05183958478912</v>
      </c>
    </row>
    <row r="30" spans="6:19">
      <c r="F30" s="1">
        <v>40026</v>
      </c>
      <c r="G30" s="6">
        <v>-1.9393371384462299</v>
      </c>
      <c r="H30" s="3" t="s">
        <v>77</v>
      </c>
      <c r="I30" s="7">
        <v>-1.6208559952683801</v>
      </c>
    </row>
    <row r="31" spans="6:19">
      <c r="F31" s="1">
        <v>40057</v>
      </c>
      <c r="G31" s="6">
        <v>-1.737122640992</v>
      </c>
      <c r="H31" s="3" t="s">
        <v>78</v>
      </c>
      <c r="I31" s="7">
        <v>-1.33645833923026</v>
      </c>
    </row>
    <row r="32" spans="6:19">
      <c r="F32" s="1">
        <v>40087</v>
      </c>
      <c r="G32" s="6">
        <v>-1.5464616735674199</v>
      </c>
      <c r="H32" s="3" t="s">
        <v>79</v>
      </c>
      <c r="I32" s="7">
        <v>-1.33985688222933</v>
      </c>
    </row>
    <row r="33" spans="6:9">
      <c r="F33" s="1">
        <v>40118</v>
      </c>
      <c r="G33" s="6">
        <v>-1.5668580076221199</v>
      </c>
      <c r="H33" s="3" t="s">
        <v>80</v>
      </c>
      <c r="I33" s="7">
        <v>-1.12858430196577</v>
      </c>
    </row>
    <row r="34" spans="6:9">
      <c r="F34" s="1">
        <v>40148</v>
      </c>
      <c r="G34" s="6">
        <v>-1.87204892143609</v>
      </c>
      <c r="H34" s="3" t="s">
        <v>81</v>
      </c>
      <c r="I34" s="7">
        <v>-1.7689714408982899</v>
      </c>
    </row>
    <row r="35" spans="6:9">
      <c r="F35" s="1">
        <v>40179</v>
      </c>
      <c r="G35" s="6">
        <v>-1.6499584740501301</v>
      </c>
      <c r="H35" s="3" t="s">
        <v>82</v>
      </c>
      <c r="I35" s="7">
        <v>-1.3211309799995099</v>
      </c>
    </row>
    <row r="36" spans="6:9">
      <c r="F36" s="1">
        <v>40210</v>
      </c>
      <c r="G36" s="6">
        <v>-1.8446173454160899</v>
      </c>
      <c r="H36" s="3" t="s">
        <v>83</v>
      </c>
      <c r="I36" s="7">
        <v>-1.32818530961701</v>
      </c>
    </row>
    <row r="37" spans="6:9">
      <c r="F37" s="1">
        <v>40238</v>
      </c>
      <c r="G37" s="6">
        <v>-1.9281191739349599</v>
      </c>
      <c r="H37" s="3" t="s">
        <v>84</v>
      </c>
      <c r="I37" s="7">
        <v>-1.2799901843765</v>
      </c>
    </row>
    <row r="38" spans="6:9">
      <c r="F38" s="1">
        <v>40269</v>
      </c>
      <c r="G38" s="6">
        <v>-1.9544527560757401</v>
      </c>
      <c r="H38" s="3" t="s">
        <v>85</v>
      </c>
      <c r="I38" s="7">
        <v>-1.26919861039469</v>
      </c>
    </row>
    <row r="39" spans="6:9">
      <c r="F39" s="1">
        <v>40299</v>
      </c>
      <c r="G39" s="6">
        <v>-1.5719936673995201</v>
      </c>
      <c r="H39" s="3" t="s">
        <v>86</v>
      </c>
      <c r="I39" s="7">
        <v>-1.3679470078348901</v>
      </c>
    </row>
    <row r="40" spans="6:9">
      <c r="F40" s="1">
        <v>40330</v>
      </c>
      <c r="G40" s="6">
        <v>-1.3733056849968699</v>
      </c>
      <c r="H40" s="3" t="s">
        <v>87</v>
      </c>
      <c r="I40" s="7">
        <v>-1.18986069259963</v>
      </c>
    </row>
    <row r="41" spans="6:9">
      <c r="F41" s="1">
        <v>40360</v>
      </c>
      <c r="G41" s="6">
        <v>-1.76303195839091</v>
      </c>
      <c r="H41" s="3" t="s">
        <v>88</v>
      </c>
      <c r="I41" s="7">
        <v>-1.82254637766764</v>
      </c>
    </row>
    <row r="42" spans="6:9">
      <c r="F42" s="1">
        <v>40391</v>
      </c>
      <c r="G42" s="6">
        <v>-1.5743906353404999</v>
      </c>
      <c r="H42" s="3" t="s">
        <v>89</v>
      </c>
      <c r="I42" s="7">
        <v>-1.3516651156285999</v>
      </c>
    </row>
    <row r="43" spans="6:9">
      <c r="F43" s="1">
        <v>40422</v>
      </c>
      <c r="G43" s="6">
        <v>-1.3785645808371101</v>
      </c>
      <c r="H43" s="3" t="s">
        <v>90</v>
      </c>
      <c r="I43" s="7">
        <v>-1.54077879856372</v>
      </c>
    </row>
    <row r="44" spans="6:9">
      <c r="F44" s="1">
        <v>40452</v>
      </c>
      <c r="G44" s="6">
        <v>-1.5968082190888799</v>
      </c>
      <c r="H44" s="3" t="s">
        <v>91</v>
      </c>
      <c r="I44" s="7">
        <v>-1.64829680995665</v>
      </c>
    </row>
    <row r="45" spans="6:9">
      <c r="F45" s="1">
        <v>40483</v>
      </c>
      <c r="G45" s="6">
        <v>-1.70261317375794</v>
      </c>
      <c r="H45" s="3" t="s">
        <v>92</v>
      </c>
      <c r="I45" s="7">
        <v>-1.2876160918447901</v>
      </c>
    </row>
    <row r="46" spans="6:9">
      <c r="F46" s="1">
        <v>40513</v>
      </c>
      <c r="G46" s="6">
        <v>-1.84630839612362</v>
      </c>
      <c r="H46" s="3" t="s">
        <v>93</v>
      </c>
      <c r="I46" s="7">
        <v>-1.3180552693160299</v>
      </c>
    </row>
    <row r="47" spans="6:9">
      <c r="F47" s="1">
        <v>40544</v>
      </c>
      <c r="G47" s="6">
        <v>-1.79816044373392</v>
      </c>
      <c r="H47" s="3" t="s">
        <v>94</v>
      </c>
      <c r="I47" s="7">
        <v>-1.4017060330045701</v>
      </c>
    </row>
    <row r="48" spans="6:9">
      <c r="F48" s="1">
        <v>40575</v>
      </c>
      <c r="G48" s="6">
        <v>-1.7692533120645799</v>
      </c>
      <c r="H48" s="3" t="s">
        <v>95</v>
      </c>
      <c r="I48" s="7">
        <v>-1.5790601447805199</v>
      </c>
    </row>
    <row r="49" spans="6:9">
      <c r="F49" s="1">
        <v>40603</v>
      </c>
      <c r="G49" s="6">
        <v>-1.6451086121502501</v>
      </c>
      <c r="H49" s="3" t="s">
        <v>96</v>
      </c>
      <c r="I49" s="7">
        <v>-1.3992534131551799</v>
      </c>
    </row>
    <row r="50" spans="6:9">
      <c r="F50" s="1">
        <v>40634</v>
      </c>
      <c r="G50" s="6">
        <v>-1.63690217774187</v>
      </c>
      <c r="H50" s="3" t="s">
        <v>97</v>
      </c>
      <c r="I50" s="7">
        <v>-1.8383176835138599</v>
      </c>
    </row>
    <row r="51" spans="6:9">
      <c r="F51" s="1">
        <v>40664</v>
      </c>
      <c r="G51" s="6">
        <v>-1.42743019102644</v>
      </c>
      <c r="H51" s="3" t="s">
        <v>98</v>
      </c>
      <c r="I51" s="7">
        <v>-1.6802349811175801</v>
      </c>
    </row>
    <row r="52" spans="6:9">
      <c r="F52" s="1">
        <v>40695</v>
      </c>
      <c r="G52" s="6">
        <v>-1.60147459034369</v>
      </c>
      <c r="H52" s="3" t="s">
        <v>99</v>
      </c>
      <c r="I52" s="7">
        <v>-1.4993449774608301</v>
      </c>
    </row>
    <row r="53" spans="6:9">
      <c r="F53" s="1">
        <v>40725</v>
      </c>
      <c r="G53" s="6">
        <v>-1.59534718630435</v>
      </c>
      <c r="H53" s="3" t="s">
        <v>100</v>
      </c>
      <c r="I53" s="7">
        <v>-1.6951607017185899</v>
      </c>
    </row>
    <row r="54" spans="6:9">
      <c r="F54" s="1">
        <v>40756</v>
      </c>
      <c r="G54" s="6">
        <v>-1.68198451583828</v>
      </c>
      <c r="H54" s="4" t="s">
        <v>101</v>
      </c>
      <c r="I54" s="8">
        <v>-1.62632575823522</v>
      </c>
    </row>
    <row r="55" spans="6:9">
      <c r="F55" s="1">
        <v>40787</v>
      </c>
      <c r="G55" s="7">
        <v>-1.57283467748939</v>
      </c>
    </row>
    <row r="56" spans="6:9">
      <c r="F56" s="1">
        <v>40817</v>
      </c>
      <c r="G56" s="7">
        <v>-1.6472832853477399</v>
      </c>
    </row>
    <row r="57" spans="6:9">
      <c r="F57" s="1">
        <v>40848</v>
      </c>
      <c r="G57" s="7">
        <v>-1.5224893130906501</v>
      </c>
    </row>
    <row r="58" spans="6:9">
      <c r="F58" s="1">
        <v>40878</v>
      </c>
      <c r="G58" s="7">
        <v>-1.322243543451</v>
      </c>
    </row>
    <row r="59" spans="6:9">
      <c r="F59" s="1">
        <v>40909</v>
      </c>
      <c r="G59" s="7">
        <v>-1.46764023443707</v>
      </c>
    </row>
    <row r="60" spans="6:9">
      <c r="F60" s="1">
        <v>40940</v>
      </c>
      <c r="G60" s="7">
        <v>-1.47007529967712</v>
      </c>
    </row>
    <row r="61" spans="6:9">
      <c r="F61" s="1">
        <v>40969</v>
      </c>
      <c r="G61" s="7">
        <v>-1.5947286792572</v>
      </c>
    </row>
    <row r="62" spans="6:9">
      <c r="F62" s="1">
        <v>41000</v>
      </c>
      <c r="G62" s="7">
        <v>-1.60091218316554</v>
      </c>
    </row>
    <row r="63" spans="6:9">
      <c r="F63" s="1">
        <v>41030</v>
      </c>
      <c r="G63" s="7">
        <v>-1.4798251016308599</v>
      </c>
    </row>
    <row r="64" spans="6:9">
      <c r="F64" s="1">
        <v>41061</v>
      </c>
      <c r="G64" s="7">
        <v>-1.38678450180197</v>
      </c>
    </row>
    <row r="65" spans="6:7">
      <c r="F65" s="1">
        <v>41091</v>
      </c>
      <c r="G65" s="7">
        <v>-1.4162764076532099</v>
      </c>
    </row>
    <row r="66" spans="6:7">
      <c r="F66" s="1">
        <v>41122</v>
      </c>
      <c r="G66" s="7">
        <v>-1.51486345845279</v>
      </c>
    </row>
    <row r="67" spans="6:7">
      <c r="F67" s="1">
        <v>41153</v>
      </c>
      <c r="G67" s="7">
        <v>-1.59616428601395</v>
      </c>
    </row>
    <row r="68" spans="6:7">
      <c r="F68" s="1">
        <v>41183</v>
      </c>
      <c r="G68" s="7">
        <v>-1.5587241008469399</v>
      </c>
    </row>
    <row r="69" spans="6:7">
      <c r="F69" s="1">
        <v>41214</v>
      </c>
      <c r="G69" s="7">
        <v>-1.53326741190671</v>
      </c>
    </row>
    <row r="70" spans="6:7">
      <c r="F70" s="1">
        <v>41244</v>
      </c>
      <c r="G70" s="7">
        <v>-1.5874600684126401</v>
      </c>
    </row>
    <row r="71" spans="6:7">
      <c r="F71" s="1">
        <v>41275</v>
      </c>
      <c r="G71" s="7">
        <v>-1.56662459234768</v>
      </c>
    </row>
    <row r="72" spans="6:7">
      <c r="F72" s="1">
        <v>41306</v>
      </c>
      <c r="G72" s="7">
        <v>-1.56204731377961</v>
      </c>
    </row>
    <row r="73" spans="6:7">
      <c r="F73" s="1">
        <v>41334</v>
      </c>
      <c r="G73" s="7">
        <v>-1.6409743854239001</v>
      </c>
    </row>
    <row r="74" spans="6:7">
      <c r="F74" s="1">
        <v>41365</v>
      </c>
      <c r="G74" s="7">
        <v>-1.5253240250989599</v>
      </c>
    </row>
    <row r="75" spans="6:7">
      <c r="F75" s="1">
        <v>41395</v>
      </c>
      <c r="G75" s="7">
        <v>-1.4745158671680001</v>
      </c>
    </row>
    <row r="76" spans="6:7">
      <c r="F76" s="1">
        <v>41426</v>
      </c>
      <c r="G76" s="7">
        <v>-1.51761436213469</v>
      </c>
    </row>
    <row r="77" spans="6:7">
      <c r="F77" s="1">
        <v>41456</v>
      </c>
      <c r="G77" s="7">
        <v>-1.5413123727136999</v>
      </c>
    </row>
    <row r="78" spans="6:7">
      <c r="F78" s="1">
        <v>41487</v>
      </c>
      <c r="G78" s="7">
        <v>-1.56906919362261</v>
      </c>
    </row>
    <row r="79" spans="6:7">
      <c r="F79" s="1">
        <v>41518</v>
      </c>
      <c r="G79" s="7">
        <v>-1.53689161400158</v>
      </c>
    </row>
    <row r="80" spans="6:7">
      <c r="F80" s="1">
        <v>41548</v>
      </c>
      <c r="G80" s="7">
        <v>-1.5553038494047</v>
      </c>
    </row>
    <row r="81" spans="6:7">
      <c r="F81" s="1">
        <v>41579</v>
      </c>
      <c r="G81" s="7">
        <v>-1.5800592885329601</v>
      </c>
    </row>
    <row r="82" spans="6:7">
      <c r="F82" s="1">
        <v>41609</v>
      </c>
      <c r="G82" s="7">
        <v>-1.58388317457078</v>
      </c>
    </row>
    <row r="83" spans="6:7">
      <c r="F83" s="1">
        <v>41640</v>
      </c>
      <c r="G83" s="7">
        <v>-1.5252151928314299</v>
      </c>
    </row>
    <row r="84" spans="6:7">
      <c r="F84" s="1">
        <v>41671</v>
      </c>
      <c r="G84" s="7">
        <v>-1.4931096242811801</v>
      </c>
    </row>
    <row r="85" spans="6:7">
      <c r="F85" s="1">
        <v>41699</v>
      </c>
      <c r="G85" s="7">
        <v>-1.45850347948479</v>
      </c>
    </row>
    <row r="86" spans="6:7">
      <c r="F86" s="1">
        <v>41730</v>
      </c>
      <c r="G86" s="7">
        <v>-1.3621032576193599</v>
      </c>
    </row>
    <row r="87" spans="6:7">
      <c r="F87" s="1">
        <v>41760</v>
      </c>
      <c r="G87" s="7">
        <v>-1.37009413040782</v>
      </c>
    </row>
    <row r="88" spans="6:7">
      <c r="F88" s="1">
        <v>41791</v>
      </c>
      <c r="G88" s="7">
        <v>-1.3143717500211201</v>
      </c>
    </row>
    <row r="89" spans="6:7">
      <c r="F89" s="1">
        <v>41821</v>
      </c>
      <c r="G89" s="7">
        <v>-1.34623370577165</v>
      </c>
    </row>
    <row r="90" spans="6:7">
      <c r="F90" s="1">
        <v>41852</v>
      </c>
      <c r="G90" s="7">
        <v>-1.35357364158552</v>
      </c>
    </row>
    <row r="91" spans="6:7">
      <c r="F91" s="1">
        <v>41883</v>
      </c>
      <c r="G91" s="7">
        <v>-1.3207604941584701</v>
      </c>
    </row>
    <row r="92" spans="6:7">
      <c r="F92" s="1">
        <v>41913</v>
      </c>
      <c r="G92" s="7">
        <v>-1.2868199519393799</v>
      </c>
    </row>
    <row r="93" spans="6:7">
      <c r="F93" s="1">
        <v>41944</v>
      </c>
      <c r="G93" s="7">
        <v>-1.3152292310704901</v>
      </c>
    </row>
    <row r="94" spans="6:7">
      <c r="F94" s="1">
        <v>41974</v>
      </c>
      <c r="G94" s="7">
        <v>-1.3706911590969899</v>
      </c>
    </row>
    <row r="95" spans="6:7">
      <c r="F95" s="1">
        <v>42005</v>
      </c>
      <c r="G95" s="7">
        <v>-1.26691335862403</v>
      </c>
    </row>
    <row r="96" spans="6:7">
      <c r="F96" s="1">
        <v>42036</v>
      </c>
      <c r="G96" s="7">
        <v>-1.3023015150722199</v>
      </c>
    </row>
    <row r="97" spans="6:7">
      <c r="F97" s="1">
        <v>42064</v>
      </c>
      <c r="G97" s="7">
        <v>-1.21631246583691</v>
      </c>
    </row>
    <row r="98" spans="6:7">
      <c r="F98" s="1">
        <v>42095</v>
      </c>
      <c r="G98" s="7">
        <v>-1.2512838074961901</v>
      </c>
    </row>
    <row r="99" spans="6:7">
      <c r="F99" s="1">
        <v>42125</v>
      </c>
      <c r="G99" s="7">
        <v>-1.2492387028165299</v>
      </c>
    </row>
    <row r="100" spans="6:7">
      <c r="F100" s="1">
        <v>42156</v>
      </c>
      <c r="G100" s="7">
        <v>-1.2247200569344701</v>
      </c>
    </row>
    <row r="101" spans="6:7">
      <c r="F101" s="1">
        <v>42186</v>
      </c>
      <c r="G101" s="7">
        <v>-1.25896094468561</v>
      </c>
    </row>
    <row r="102" spans="6:7">
      <c r="F102" s="1">
        <v>42217</v>
      </c>
      <c r="G102" s="7">
        <v>-1.2722855251982499</v>
      </c>
    </row>
    <row r="103" spans="6:7">
      <c r="F103" s="1">
        <v>42248</v>
      </c>
      <c r="G103" s="7">
        <v>-1.23870392982556</v>
      </c>
    </row>
    <row r="104" spans="6:7">
      <c r="F104" s="1">
        <v>42278</v>
      </c>
      <c r="G104" s="7">
        <v>-1.3327203751066401</v>
      </c>
    </row>
    <row r="105" spans="6:7">
      <c r="F105" s="1">
        <v>42309</v>
      </c>
      <c r="G105" s="7">
        <v>-1.2713919849594699</v>
      </c>
    </row>
    <row r="106" spans="6:7">
      <c r="F106" s="1">
        <v>42339</v>
      </c>
      <c r="G106" s="7">
        <v>-1.22113653466084</v>
      </c>
    </row>
    <row r="107" spans="6:7">
      <c r="F107" s="1">
        <v>42370</v>
      </c>
      <c r="G107" s="7">
        <v>-1.30739150397662</v>
      </c>
    </row>
    <row r="108" spans="6:7">
      <c r="F108" s="1">
        <v>42401</v>
      </c>
      <c r="G108" s="7">
        <v>-1.31805333342435</v>
      </c>
    </row>
    <row r="109" spans="6:7">
      <c r="F109" s="1">
        <v>42430</v>
      </c>
      <c r="G109" s="7">
        <v>-1.1820662754647999</v>
      </c>
    </row>
    <row r="110" spans="6:7">
      <c r="F110" s="1">
        <v>42461</v>
      </c>
      <c r="G110" s="7">
        <v>-0.98714318459630801</v>
      </c>
    </row>
    <row r="111" spans="6:7">
      <c r="F111" s="1">
        <v>42491</v>
      </c>
      <c r="G111" s="7">
        <v>-0.94582548255568899</v>
      </c>
    </row>
    <row r="112" spans="6:7">
      <c r="F112" s="1">
        <v>42522</v>
      </c>
      <c r="G112" s="7">
        <v>-1.0391313187789999</v>
      </c>
    </row>
    <row r="113" spans="6:7">
      <c r="F113" s="1">
        <v>42552</v>
      </c>
      <c r="G113" s="7">
        <v>-0.92823022837743596</v>
      </c>
    </row>
    <row r="114" spans="6:7">
      <c r="F114" s="1">
        <v>42583</v>
      </c>
      <c r="G114" s="7">
        <v>-0.96183176714492702</v>
      </c>
    </row>
    <row r="115" spans="6:7">
      <c r="F115" s="1">
        <v>42614</v>
      </c>
      <c r="G115" s="7">
        <v>-1.0154025430361699</v>
      </c>
    </row>
    <row r="116" spans="6:7">
      <c r="F116" s="1">
        <v>42644</v>
      </c>
      <c r="G116" s="7">
        <v>-1.1429091811386001</v>
      </c>
    </row>
    <row r="117" spans="6:7">
      <c r="F117" s="1">
        <v>42675</v>
      </c>
      <c r="G117" s="7">
        <v>-1.0480404078087</v>
      </c>
    </row>
    <row r="118" spans="6:7">
      <c r="F118" s="1">
        <v>42705</v>
      </c>
      <c r="G118" s="7">
        <v>-1.0242319397480599</v>
      </c>
    </row>
    <row r="119" spans="6:7">
      <c r="F119" s="1">
        <v>42736</v>
      </c>
      <c r="G119" s="7">
        <v>-1.1283101566495</v>
      </c>
    </row>
    <row r="120" spans="6:7">
      <c r="F120" s="1">
        <v>42767</v>
      </c>
      <c r="G120" s="7">
        <v>-1.0943081860462101</v>
      </c>
    </row>
    <row r="121" spans="6:7">
      <c r="F121" s="1">
        <v>42795</v>
      </c>
      <c r="G121" s="7">
        <v>-1.10545318792225</v>
      </c>
    </row>
    <row r="122" spans="6:7">
      <c r="F122" s="1">
        <v>42826</v>
      </c>
      <c r="G122" s="7">
        <v>-1.0824769313259901</v>
      </c>
    </row>
    <row r="123" spans="6:7">
      <c r="F123" s="1">
        <v>42856</v>
      </c>
      <c r="G123" s="7">
        <v>-1.0617350331200199</v>
      </c>
    </row>
    <row r="124" spans="6:7">
      <c r="F124" s="1">
        <v>42887</v>
      </c>
      <c r="G124" s="7">
        <v>-1.0868878193237099</v>
      </c>
    </row>
    <row r="125" spans="6:7">
      <c r="F125" s="1">
        <v>42917</v>
      </c>
      <c r="G125" s="7">
        <v>-1.0656622409618299</v>
      </c>
    </row>
    <row r="126" spans="6:7">
      <c r="F126" s="1">
        <v>42948</v>
      </c>
      <c r="G126" s="7">
        <v>-1.1102385169911</v>
      </c>
    </row>
    <row r="127" spans="6:7">
      <c r="F127" s="1">
        <v>42979</v>
      </c>
      <c r="G127" s="7">
        <v>-0.99892616520710797</v>
      </c>
    </row>
    <row r="128" spans="6:7">
      <c r="F128" s="1">
        <v>43009</v>
      </c>
      <c r="G128" s="7">
        <v>-1.1521910877935</v>
      </c>
    </row>
    <row r="129" spans="6:7">
      <c r="F129" s="1">
        <v>43040</v>
      </c>
      <c r="G129" s="7">
        <v>-1.2364616757707301</v>
      </c>
    </row>
    <row r="130" spans="6:7">
      <c r="F130" s="1">
        <v>43070</v>
      </c>
      <c r="G130" s="7">
        <v>-1.1930907609590899</v>
      </c>
    </row>
    <row r="131" spans="6:7">
      <c r="F131" s="1">
        <v>43101</v>
      </c>
      <c r="G131" s="7">
        <v>-1.30780438315739</v>
      </c>
    </row>
    <row r="132" spans="6:7">
      <c r="F132" s="1">
        <v>43132</v>
      </c>
      <c r="G132" s="7">
        <v>-1.33382545411154</v>
      </c>
    </row>
    <row r="133" spans="6:7">
      <c r="F133" s="1">
        <v>43160</v>
      </c>
      <c r="G133" s="7">
        <v>-1.30182794599666</v>
      </c>
    </row>
    <row r="134" spans="6:7">
      <c r="F134" s="1">
        <v>43191</v>
      </c>
      <c r="G134" s="7">
        <v>-1.2956900914740801</v>
      </c>
    </row>
    <row r="135" spans="6:7">
      <c r="F135" s="1">
        <v>43221</v>
      </c>
      <c r="G135" s="7">
        <v>-1.39617543924071</v>
      </c>
    </row>
    <row r="136" spans="6:7">
      <c r="F136" s="1">
        <v>43252</v>
      </c>
      <c r="G136" s="7">
        <v>-1.5121331468853501</v>
      </c>
    </row>
    <row r="137" spans="6:7">
      <c r="F137" s="1">
        <v>43282</v>
      </c>
      <c r="G137" s="7">
        <v>-1.81566266278458</v>
      </c>
    </row>
    <row r="138" spans="6:7">
      <c r="F138" s="1">
        <v>43313</v>
      </c>
      <c r="G138" s="7">
        <v>-2.1303202179710801</v>
      </c>
    </row>
    <row r="139" spans="6:7">
      <c r="F139" s="1">
        <v>43344</v>
      </c>
      <c r="G139" s="7">
        <v>-2.3734866452583798</v>
      </c>
    </row>
    <row r="140" spans="6:7">
      <c r="F140" s="1">
        <v>43374</v>
      </c>
      <c r="G140" s="7">
        <v>-2.8798256305272001</v>
      </c>
    </row>
    <row r="141" spans="6:7">
      <c r="F141" s="1">
        <v>43405</v>
      </c>
      <c r="G141" s="7">
        <v>-3.9139718850744698</v>
      </c>
    </row>
    <row r="142" spans="6:7">
      <c r="F142" s="2">
        <v>43435</v>
      </c>
      <c r="G142" s="8">
        <v>-4.2243634738973297</v>
      </c>
    </row>
  </sheetData>
  <sortState xmlns:xlrd2="http://schemas.microsoft.com/office/spreadsheetml/2017/richdata2" ref="H4:I54">
    <sortCondition ref="H4:H54"/>
  </sortState>
  <mergeCells count="16">
    <mergeCell ref="R1:S1"/>
    <mergeCell ref="T1:U1"/>
    <mergeCell ref="V1:W1"/>
    <mergeCell ref="X1:Y1"/>
    <mergeCell ref="F1:G1"/>
    <mergeCell ref="H1:I1"/>
    <mergeCell ref="J1:K1"/>
    <mergeCell ref="L1:M1"/>
    <mergeCell ref="N1:O1"/>
    <mergeCell ref="P1:Q1"/>
    <mergeCell ref="C2:C3"/>
    <mergeCell ref="B2:B3"/>
    <mergeCell ref="E2:E3"/>
    <mergeCell ref="Z2:Z3"/>
    <mergeCell ref="D2:D3"/>
    <mergeCell ref="A2:A3"/>
  </mergeCells>
  <conditionalFormatting sqref="G4:G1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S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U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:W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:Y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5">
    <dataValidation type="decimal" allowBlank="1" showInputMessage="1" showErrorMessage="1" errorTitle="Value Error" error="Revenue must be a decimal between 0 and 10999200." promptTitle="REVENUE" prompt="Enter a positive value." sqref="K2:K3" xr:uid="{8E971851-FEB2-42D8-B6F9-447DC66BBADD}">
      <formula1>0</formula1>
      <formula2>$J$17</formula2>
    </dataValidation>
    <dataValidation type="decimal" allowBlank="1" showInputMessage="1" showErrorMessage="1" errorTitle="Value Error" error="Debt/income must be a decimal between 0 and 999." promptTitle="DEBT/INCOME" prompt="Enter a positive value." sqref="M2:M3" xr:uid="{2C00DCD9-14B5-4153-9BF4-68E31FF7CBD0}">
      <formula1>0</formula1>
      <formula2>$L$17</formula2>
    </dataValidation>
    <dataValidation type="decimal" allowBlank="1" showInputMessage="1" showErrorMessage="1" errorTitle="Value Error" error="Loan amount must be a decimal between 0 and 40000." promptTitle="LOAN AMOUNT" prompt="Enter a positive value." sqref="O2:O3" xr:uid="{18C849EA-63C8-4F27-A32E-27414222B13C}">
      <formula1>0</formula1>
      <formula2>$N$17</formula2>
    </dataValidation>
    <dataValidation type="decimal" allowBlank="1" showInputMessage="1" showErrorMessage="1" errorTitle="Value Error" error="FICO score must be a decimal between 0 and 847.5" promptTitle="FICO SCORE" prompt="Enter a positive value." sqref="Q2:Q3" xr:uid="{B09AB1F0-4E23-49B0-B746-37C54B29DAA4}">
      <formula1>0</formula1>
      <formula2>$P$17</formula2>
    </dataValidation>
    <dataValidation allowBlank="1" showInputMessage="1" showErrorMessage="1" sqref="G3 W3" xr:uid="{6E9C1E60-ACC4-48A5-BF24-9FDD053D21B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valid choice" error="Please choose a value from the dropdown list." promptTitle="ISSUE DATE" prompt="Choose an issue date option." xr:uid="{47F974D0-3E1C-4771-83CC-12011C518E7E}">
          <x14:formula1>
            <xm:f>'Dropdown Lists'!$A$2:$A$140</xm:f>
          </x14:formula1>
          <xm:sqref>G2</xm:sqref>
        </x14:dataValidation>
        <x14:dataValidation type="list" allowBlank="1" showInputMessage="1" showErrorMessage="1" errorTitle="Invalid choice" error="Please choose a value from the dropdown list." promptTitle="ADDRESS STATE" prompt="Choose an address state option." xr:uid="{F27FCB54-2BE6-4571-88C1-AA4270D9954C}">
          <x14:formula1>
            <xm:f>'Dropdown Lists'!$B$2:$B$52</xm:f>
          </x14:formula1>
          <xm:sqref>I2:I3</xm:sqref>
        </x14:dataValidation>
        <x14:dataValidation type="list" allowBlank="1" showInputMessage="1" showErrorMessage="1" errorTitle="Invalid choice" error="Please choose a value from the dropdown list." promptTitle="LOAN PURPOSE" prompt="Choose a loan purpose option." xr:uid="{D71A7DE7-01F8-4488-AB22-AD01716001F6}">
          <x14:formula1>
            <xm:f>'Dropdown Lists'!$C$2:$C$15</xm:f>
          </x14:formula1>
          <xm:sqref>S2:S3</xm:sqref>
        </x14:dataValidation>
        <x14:dataValidation type="list" allowBlank="1" showInputMessage="1" showErrorMessage="1" errorTitle="Invalid choice" error="Please choose a value from the dropdown list." promptTitle="EMPLOYMENT LENGTH" prompt="Choose an employment length option." xr:uid="{9C7A0D25-24AC-4766-A952-3D6380F7BAC4}">
          <x14:formula1>
            <xm:f>'Dropdown Lists'!$D$2:$D$13</xm:f>
          </x14:formula1>
          <xm:sqref>U2:U3</xm:sqref>
        </x14:dataValidation>
        <x14:dataValidation type="list" allowBlank="1" showInputMessage="1" showErrorMessage="1" errorTitle="Invalid choice" error="Please choose a value from the dropdown list." promptTitle="HOME OWNERSHIP" prompt="Choose a home ownership option." xr:uid="{EC30E958-FCA0-42A2-8E39-C4678DC63454}">
          <x14:formula1>
            <xm:f>'Dropdown Lists'!$E$2:$E$5</xm:f>
          </x14:formula1>
          <xm:sqref>W2</xm:sqref>
        </x14:dataValidation>
        <x14:dataValidation type="list" allowBlank="1" showInputMessage="1" showErrorMessage="1" errorTitle="Invalid choice" error="Please choose a value from the dropdown list." promptTitle="NEW BORROWER" prompt="Choose a new borrower option." xr:uid="{1F25ED00-97DF-4C5F-AE54-8CA88BAD784C}">
          <x14:formula1>
            <xm:f>'Dropdown Lists'!$F$2:$F$3</xm:f>
          </x14:formula1>
          <xm:sqref>Y2:Y3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AD96-0F2E-4653-8179-6D597650E234}">
  <dimension ref="A1:F140"/>
  <sheetViews>
    <sheetView workbookViewId="0"/>
  </sheetViews>
  <sheetFormatPr defaultRowHeight="15"/>
  <cols>
    <col min="1" max="1" width="11.140625" bestFit="1" customWidth="1"/>
    <col min="2" max="2" width="15.140625" bestFit="1" customWidth="1"/>
    <col min="3" max="3" width="18.85546875" bestFit="1" customWidth="1"/>
    <col min="4" max="4" width="21.42578125" bestFit="1" customWidth="1"/>
    <col min="5" max="5" width="18.140625" bestFit="1" customWidth="1"/>
    <col min="6" max="6" width="16.42578125" bestFit="1" customWidth="1"/>
  </cols>
  <sheetData>
    <row r="1" spans="1:6">
      <c r="A1" s="12" t="s">
        <v>5</v>
      </c>
      <c r="B1" s="12" t="s">
        <v>6</v>
      </c>
      <c r="C1" s="12" t="s">
        <v>102</v>
      </c>
      <c r="D1" s="12" t="s">
        <v>12</v>
      </c>
      <c r="E1" s="12" t="s">
        <v>13</v>
      </c>
      <c r="F1" s="12" t="s">
        <v>14</v>
      </c>
    </row>
    <row r="2" spans="1:6">
      <c r="A2" s="13">
        <v>39234</v>
      </c>
      <c r="B2" s="11" t="s">
        <v>24</v>
      </c>
      <c r="C2" s="11" t="s">
        <v>19</v>
      </c>
      <c r="D2" s="11" t="s">
        <v>25</v>
      </c>
      <c r="E2" s="11" t="s">
        <v>26</v>
      </c>
      <c r="F2" s="11" t="s">
        <v>22</v>
      </c>
    </row>
    <row r="3" spans="1:6">
      <c r="A3" s="13">
        <v>39264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</row>
    <row r="4" spans="1:6">
      <c r="A4" s="13">
        <v>39295</v>
      </c>
      <c r="B4" s="11" t="s">
        <v>32</v>
      </c>
      <c r="C4" s="11" t="s">
        <v>33</v>
      </c>
      <c r="D4" s="11" t="s">
        <v>34</v>
      </c>
      <c r="E4" s="11" t="s">
        <v>21</v>
      </c>
    </row>
    <row r="5" spans="1:6">
      <c r="A5" s="13">
        <v>39326</v>
      </c>
      <c r="B5" s="11" t="s">
        <v>17</v>
      </c>
      <c r="C5" s="11" t="s">
        <v>35</v>
      </c>
      <c r="D5" s="11" t="s">
        <v>36</v>
      </c>
      <c r="E5" s="11" t="s">
        <v>37</v>
      </c>
    </row>
    <row r="6" spans="1:6">
      <c r="A6" s="13">
        <v>39356</v>
      </c>
      <c r="B6" s="11" t="s">
        <v>38</v>
      </c>
      <c r="C6" s="11" t="s">
        <v>39</v>
      </c>
      <c r="D6" s="11" t="s">
        <v>40</v>
      </c>
    </row>
    <row r="7" spans="1:6">
      <c r="A7" s="13">
        <v>39387</v>
      </c>
      <c r="B7" s="11" t="s">
        <v>41</v>
      </c>
      <c r="C7" s="11" t="s">
        <v>42</v>
      </c>
      <c r="D7" s="11" t="s">
        <v>43</v>
      </c>
    </row>
    <row r="8" spans="1:6">
      <c r="A8" s="13">
        <v>39417</v>
      </c>
      <c r="B8" s="11" t="s">
        <v>44</v>
      </c>
      <c r="C8" s="11" t="s">
        <v>45</v>
      </c>
      <c r="D8" s="11" t="s">
        <v>46</v>
      </c>
    </row>
    <row r="9" spans="1:6">
      <c r="A9" s="13">
        <v>39448</v>
      </c>
      <c r="B9" s="11" t="s">
        <v>47</v>
      </c>
      <c r="C9" s="11" t="s">
        <v>48</v>
      </c>
      <c r="D9" s="11" t="s">
        <v>49</v>
      </c>
    </row>
    <row r="10" spans="1:6">
      <c r="A10" s="13">
        <v>39479</v>
      </c>
      <c r="B10" s="11" t="s">
        <v>50</v>
      </c>
      <c r="C10" s="11" t="s">
        <v>51</v>
      </c>
      <c r="D10" s="11" t="s">
        <v>52</v>
      </c>
    </row>
    <row r="11" spans="1:6">
      <c r="A11" s="13">
        <v>39508</v>
      </c>
      <c r="B11" s="11" t="s">
        <v>53</v>
      </c>
      <c r="C11" s="11" t="s">
        <v>54</v>
      </c>
      <c r="D11" s="11" t="s">
        <v>55</v>
      </c>
    </row>
    <row r="12" spans="1:6">
      <c r="A12" s="13">
        <v>39539</v>
      </c>
      <c r="B12" s="11" t="s">
        <v>56</v>
      </c>
      <c r="C12" s="11" t="s">
        <v>57</v>
      </c>
      <c r="D12" s="11" t="s">
        <v>20</v>
      </c>
    </row>
    <row r="13" spans="1:6">
      <c r="A13" s="13">
        <v>39569</v>
      </c>
      <c r="B13" s="11" t="s">
        <v>58</v>
      </c>
      <c r="C13" s="11" t="s">
        <v>59</v>
      </c>
      <c r="D13" s="11" t="s">
        <v>60</v>
      </c>
    </row>
    <row r="14" spans="1:6">
      <c r="A14" s="13">
        <v>39600</v>
      </c>
      <c r="B14" s="11" t="s">
        <v>61</v>
      </c>
      <c r="C14" s="11" t="s">
        <v>62</v>
      </c>
    </row>
    <row r="15" spans="1:6">
      <c r="A15" s="13">
        <v>39630</v>
      </c>
      <c r="B15" s="11" t="s">
        <v>63</v>
      </c>
      <c r="C15" s="11" t="s">
        <v>64</v>
      </c>
    </row>
    <row r="16" spans="1:6">
      <c r="A16" s="13">
        <v>39661</v>
      </c>
      <c r="B16" s="11" t="s">
        <v>65</v>
      </c>
    </row>
    <row r="17" spans="1:2">
      <c r="A17" s="13">
        <v>39692</v>
      </c>
      <c r="B17" s="11" t="s">
        <v>66</v>
      </c>
    </row>
    <row r="18" spans="1:2">
      <c r="A18" s="13">
        <v>39722</v>
      </c>
      <c r="B18" s="11" t="s">
        <v>67</v>
      </c>
    </row>
    <row r="19" spans="1:2">
      <c r="A19" s="13">
        <v>39753</v>
      </c>
      <c r="B19" s="11" t="s">
        <v>68</v>
      </c>
    </row>
    <row r="20" spans="1:2">
      <c r="A20" s="13">
        <v>39783</v>
      </c>
      <c r="B20" s="11" t="s">
        <v>69</v>
      </c>
    </row>
    <row r="21" spans="1:2">
      <c r="A21" s="13">
        <v>39814</v>
      </c>
      <c r="B21" s="11" t="s">
        <v>70</v>
      </c>
    </row>
    <row r="22" spans="1:2">
      <c r="A22" s="13">
        <v>39845</v>
      </c>
      <c r="B22" s="11" t="s">
        <v>71</v>
      </c>
    </row>
    <row r="23" spans="1:2">
      <c r="A23" s="13">
        <v>39873</v>
      </c>
      <c r="B23" s="11" t="s">
        <v>72</v>
      </c>
    </row>
    <row r="24" spans="1:2">
      <c r="A24" s="13">
        <v>39904</v>
      </c>
      <c r="B24" s="11" t="s">
        <v>73</v>
      </c>
    </row>
    <row r="25" spans="1:2">
      <c r="A25" s="13">
        <v>39934</v>
      </c>
      <c r="B25" s="11" t="s">
        <v>74</v>
      </c>
    </row>
    <row r="26" spans="1:2">
      <c r="A26" s="13">
        <v>39965</v>
      </c>
      <c r="B26" s="11" t="s">
        <v>75</v>
      </c>
    </row>
    <row r="27" spans="1:2">
      <c r="A27" s="13">
        <v>39995</v>
      </c>
      <c r="B27" s="11" t="s">
        <v>76</v>
      </c>
    </row>
    <row r="28" spans="1:2">
      <c r="A28" s="13">
        <v>40026</v>
      </c>
      <c r="B28" s="11" t="s">
        <v>77</v>
      </c>
    </row>
    <row r="29" spans="1:2">
      <c r="A29" s="13">
        <v>40057</v>
      </c>
      <c r="B29" s="11" t="s">
        <v>78</v>
      </c>
    </row>
    <row r="30" spans="1:2">
      <c r="A30" s="13">
        <v>40087</v>
      </c>
      <c r="B30" s="11" t="s">
        <v>79</v>
      </c>
    </row>
    <row r="31" spans="1:2">
      <c r="A31" s="13">
        <v>40118</v>
      </c>
      <c r="B31" s="11" t="s">
        <v>80</v>
      </c>
    </row>
    <row r="32" spans="1:2">
      <c r="A32" s="13">
        <v>40148</v>
      </c>
      <c r="B32" s="11" t="s">
        <v>81</v>
      </c>
    </row>
    <row r="33" spans="1:2">
      <c r="A33" s="13">
        <v>40179</v>
      </c>
      <c r="B33" s="11" t="s">
        <v>82</v>
      </c>
    </row>
    <row r="34" spans="1:2">
      <c r="A34" s="13">
        <v>40210</v>
      </c>
      <c r="B34" s="11" t="s">
        <v>83</v>
      </c>
    </row>
    <row r="35" spans="1:2">
      <c r="A35" s="13">
        <v>40238</v>
      </c>
      <c r="B35" s="11" t="s">
        <v>84</v>
      </c>
    </row>
    <row r="36" spans="1:2">
      <c r="A36" s="13">
        <v>40269</v>
      </c>
      <c r="B36" s="11" t="s">
        <v>85</v>
      </c>
    </row>
    <row r="37" spans="1:2">
      <c r="A37" s="13">
        <v>40299</v>
      </c>
      <c r="B37" s="11" t="s">
        <v>86</v>
      </c>
    </row>
    <row r="38" spans="1:2">
      <c r="A38" s="13">
        <v>40330</v>
      </c>
      <c r="B38" s="11" t="s">
        <v>87</v>
      </c>
    </row>
    <row r="39" spans="1:2">
      <c r="A39" s="13">
        <v>40360</v>
      </c>
      <c r="B39" s="11" t="s">
        <v>88</v>
      </c>
    </row>
    <row r="40" spans="1:2">
      <c r="A40" s="13">
        <v>40391</v>
      </c>
      <c r="B40" s="11" t="s">
        <v>89</v>
      </c>
    </row>
    <row r="41" spans="1:2">
      <c r="A41" s="13">
        <v>40422</v>
      </c>
      <c r="B41" s="11" t="s">
        <v>90</v>
      </c>
    </row>
    <row r="42" spans="1:2">
      <c r="A42" s="13">
        <v>40452</v>
      </c>
      <c r="B42" s="11" t="s">
        <v>91</v>
      </c>
    </row>
    <row r="43" spans="1:2">
      <c r="A43" s="13">
        <v>40483</v>
      </c>
      <c r="B43" s="11" t="s">
        <v>92</v>
      </c>
    </row>
    <row r="44" spans="1:2">
      <c r="A44" s="13">
        <v>40513</v>
      </c>
      <c r="B44" s="11" t="s">
        <v>93</v>
      </c>
    </row>
    <row r="45" spans="1:2">
      <c r="A45" s="13">
        <v>40544</v>
      </c>
      <c r="B45" s="11" t="s">
        <v>94</v>
      </c>
    </row>
    <row r="46" spans="1:2">
      <c r="A46" s="13">
        <v>40575</v>
      </c>
      <c r="B46" s="11" t="s">
        <v>95</v>
      </c>
    </row>
    <row r="47" spans="1:2">
      <c r="A47" s="13">
        <v>40603</v>
      </c>
      <c r="B47" s="11" t="s">
        <v>96</v>
      </c>
    </row>
    <row r="48" spans="1:2">
      <c r="A48" s="13">
        <v>40634</v>
      </c>
      <c r="B48" s="11" t="s">
        <v>97</v>
      </c>
    </row>
    <row r="49" spans="1:2">
      <c r="A49" s="13">
        <v>40664</v>
      </c>
      <c r="B49" s="11" t="s">
        <v>98</v>
      </c>
    </row>
    <row r="50" spans="1:2">
      <c r="A50" s="13">
        <v>40695</v>
      </c>
      <c r="B50" s="11" t="s">
        <v>99</v>
      </c>
    </row>
    <row r="51" spans="1:2">
      <c r="A51" s="13">
        <v>40725</v>
      </c>
      <c r="B51" s="11" t="s">
        <v>100</v>
      </c>
    </row>
    <row r="52" spans="1:2">
      <c r="A52" s="13">
        <v>40756</v>
      </c>
      <c r="B52" s="11" t="s">
        <v>101</v>
      </c>
    </row>
    <row r="53" spans="1:2">
      <c r="A53" s="13">
        <v>40787</v>
      </c>
    </row>
    <row r="54" spans="1:2">
      <c r="A54" s="13">
        <v>40817</v>
      </c>
    </row>
    <row r="55" spans="1:2">
      <c r="A55" s="13">
        <v>40848</v>
      </c>
    </row>
    <row r="56" spans="1:2">
      <c r="A56" s="13">
        <v>40878</v>
      </c>
    </row>
    <row r="57" spans="1:2">
      <c r="A57" s="13">
        <v>40909</v>
      </c>
    </row>
    <row r="58" spans="1:2">
      <c r="A58" s="13">
        <v>40940</v>
      </c>
    </row>
    <row r="59" spans="1:2">
      <c r="A59" s="13">
        <v>40969</v>
      </c>
    </row>
    <row r="60" spans="1:2">
      <c r="A60" s="13">
        <v>41000</v>
      </c>
    </row>
    <row r="61" spans="1:2">
      <c r="A61" s="13">
        <v>41030</v>
      </c>
    </row>
    <row r="62" spans="1:2">
      <c r="A62" s="13">
        <v>41061</v>
      </c>
    </row>
    <row r="63" spans="1:2">
      <c r="A63" s="13">
        <v>41091</v>
      </c>
    </row>
    <row r="64" spans="1:2">
      <c r="A64" s="13">
        <v>41122</v>
      </c>
    </row>
    <row r="65" spans="1:1">
      <c r="A65" s="13">
        <v>41153</v>
      </c>
    </row>
    <row r="66" spans="1:1">
      <c r="A66" s="13">
        <v>41183</v>
      </c>
    </row>
    <row r="67" spans="1:1">
      <c r="A67" s="13">
        <v>41214</v>
      </c>
    </row>
    <row r="68" spans="1:1">
      <c r="A68" s="13">
        <v>41244</v>
      </c>
    </row>
    <row r="69" spans="1:1">
      <c r="A69" s="13">
        <v>41275</v>
      </c>
    </row>
    <row r="70" spans="1:1">
      <c r="A70" s="13">
        <v>41306</v>
      </c>
    </row>
    <row r="71" spans="1:1">
      <c r="A71" s="13">
        <v>41334</v>
      </c>
    </row>
    <row r="72" spans="1:1">
      <c r="A72" s="13">
        <v>41365</v>
      </c>
    </row>
    <row r="73" spans="1:1">
      <c r="A73" s="13">
        <v>41395</v>
      </c>
    </row>
    <row r="74" spans="1:1">
      <c r="A74" s="13">
        <v>41426</v>
      </c>
    </row>
    <row r="75" spans="1:1">
      <c r="A75" s="13">
        <v>41456</v>
      </c>
    </row>
    <row r="76" spans="1:1">
      <c r="A76" s="13">
        <v>41487</v>
      </c>
    </row>
    <row r="77" spans="1:1">
      <c r="A77" s="13">
        <v>41518</v>
      </c>
    </row>
    <row r="78" spans="1:1">
      <c r="A78" s="13">
        <v>41548</v>
      </c>
    </row>
    <row r="79" spans="1:1">
      <c r="A79" s="13">
        <v>41579</v>
      </c>
    </row>
    <row r="80" spans="1:1">
      <c r="A80" s="13">
        <v>41609</v>
      </c>
    </row>
    <row r="81" spans="1:1">
      <c r="A81" s="13">
        <v>41640</v>
      </c>
    </row>
    <row r="82" spans="1:1">
      <c r="A82" s="13">
        <v>41671</v>
      </c>
    </row>
    <row r="83" spans="1:1">
      <c r="A83" s="13">
        <v>41699</v>
      </c>
    </row>
    <row r="84" spans="1:1">
      <c r="A84" s="13">
        <v>41730</v>
      </c>
    </row>
    <row r="85" spans="1:1">
      <c r="A85" s="13">
        <v>41760</v>
      </c>
    </row>
    <row r="86" spans="1:1">
      <c r="A86" s="13">
        <v>41791</v>
      </c>
    </row>
    <row r="87" spans="1:1">
      <c r="A87" s="13">
        <v>41821</v>
      </c>
    </row>
    <row r="88" spans="1:1">
      <c r="A88" s="13">
        <v>41852</v>
      </c>
    </row>
    <row r="89" spans="1:1">
      <c r="A89" s="13">
        <v>41883</v>
      </c>
    </row>
    <row r="90" spans="1:1">
      <c r="A90" s="13">
        <v>41913</v>
      </c>
    </row>
    <row r="91" spans="1:1">
      <c r="A91" s="13">
        <v>41944</v>
      </c>
    </row>
    <row r="92" spans="1:1">
      <c r="A92" s="13">
        <v>41974</v>
      </c>
    </row>
    <row r="93" spans="1:1">
      <c r="A93" s="13">
        <v>42005</v>
      </c>
    </row>
    <row r="94" spans="1:1">
      <c r="A94" s="13">
        <v>42036</v>
      </c>
    </row>
    <row r="95" spans="1:1">
      <c r="A95" s="13">
        <v>42064</v>
      </c>
    </row>
    <row r="96" spans="1:1">
      <c r="A96" s="13">
        <v>42095</v>
      </c>
    </row>
    <row r="97" spans="1:1">
      <c r="A97" s="13">
        <v>42125</v>
      </c>
    </row>
    <row r="98" spans="1:1">
      <c r="A98" s="13">
        <v>42156</v>
      </c>
    </row>
    <row r="99" spans="1:1">
      <c r="A99" s="13">
        <v>42186</v>
      </c>
    </row>
    <row r="100" spans="1:1">
      <c r="A100" s="13">
        <v>42217</v>
      </c>
    </row>
    <row r="101" spans="1:1">
      <c r="A101" s="13">
        <v>42248</v>
      </c>
    </row>
    <row r="102" spans="1:1">
      <c r="A102" s="13">
        <v>42278</v>
      </c>
    </row>
    <row r="103" spans="1:1">
      <c r="A103" s="13">
        <v>42309</v>
      </c>
    </row>
    <row r="104" spans="1:1">
      <c r="A104" s="13">
        <v>42339</v>
      </c>
    </row>
    <row r="105" spans="1:1">
      <c r="A105" s="13">
        <v>42370</v>
      </c>
    </row>
    <row r="106" spans="1:1">
      <c r="A106" s="13">
        <v>42401</v>
      </c>
    </row>
    <row r="107" spans="1:1">
      <c r="A107" s="13">
        <v>42430</v>
      </c>
    </row>
    <row r="108" spans="1:1">
      <c r="A108" s="13">
        <v>42461</v>
      </c>
    </row>
    <row r="109" spans="1:1">
      <c r="A109" s="13">
        <v>42491</v>
      </c>
    </row>
    <row r="110" spans="1:1">
      <c r="A110" s="13">
        <v>42522</v>
      </c>
    </row>
    <row r="111" spans="1:1">
      <c r="A111" s="13">
        <v>42552</v>
      </c>
    </row>
    <row r="112" spans="1:1">
      <c r="A112" s="13">
        <v>42583</v>
      </c>
    </row>
    <row r="113" spans="1:1">
      <c r="A113" s="13">
        <v>42614</v>
      </c>
    </row>
    <row r="114" spans="1:1">
      <c r="A114" s="13">
        <v>42644</v>
      </c>
    </row>
    <row r="115" spans="1:1">
      <c r="A115" s="13">
        <v>42675</v>
      </c>
    </row>
    <row r="116" spans="1:1">
      <c r="A116" s="13">
        <v>42705</v>
      </c>
    </row>
    <row r="117" spans="1:1">
      <c r="A117" s="13">
        <v>42736</v>
      </c>
    </row>
    <row r="118" spans="1:1">
      <c r="A118" s="13">
        <v>42767</v>
      </c>
    </row>
    <row r="119" spans="1:1">
      <c r="A119" s="13">
        <v>42795</v>
      </c>
    </row>
    <row r="120" spans="1:1">
      <c r="A120" s="13">
        <v>42826</v>
      </c>
    </row>
    <row r="121" spans="1:1">
      <c r="A121" s="13">
        <v>42856</v>
      </c>
    </row>
    <row r="122" spans="1:1">
      <c r="A122" s="13">
        <v>42887</v>
      </c>
    </row>
    <row r="123" spans="1:1">
      <c r="A123" s="13">
        <v>42917</v>
      </c>
    </row>
    <row r="124" spans="1:1">
      <c r="A124" s="13">
        <v>42948</v>
      </c>
    </row>
    <row r="125" spans="1:1">
      <c r="A125" s="13">
        <v>42979</v>
      </c>
    </row>
    <row r="126" spans="1:1">
      <c r="A126" s="13">
        <v>43009</v>
      </c>
    </row>
    <row r="127" spans="1:1">
      <c r="A127" s="13">
        <v>43040</v>
      </c>
    </row>
    <row r="128" spans="1:1">
      <c r="A128" s="13">
        <v>43070</v>
      </c>
    </row>
    <row r="129" spans="1:1">
      <c r="A129" s="13">
        <v>43101</v>
      </c>
    </row>
    <row r="130" spans="1:1">
      <c r="A130" s="13">
        <v>43132</v>
      </c>
    </row>
    <row r="131" spans="1:1">
      <c r="A131" s="13">
        <v>43160</v>
      </c>
    </row>
    <row r="132" spans="1:1">
      <c r="A132" s="13">
        <v>43191</v>
      </c>
    </row>
    <row r="133" spans="1:1">
      <c r="A133" s="13">
        <v>43221</v>
      </c>
    </row>
    <row r="134" spans="1:1">
      <c r="A134" s="13">
        <v>43252</v>
      </c>
    </row>
    <row r="135" spans="1:1">
      <c r="A135" s="13">
        <v>43282</v>
      </c>
    </row>
    <row r="136" spans="1:1">
      <c r="A136" s="13">
        <v>43313</v>
      </c>
    </row>
    <row r="137" spans="1:1">
      <c r="A137" s="13">
        <v>43344</v>
      </c>
    </row>
    <row r="138" spans="1:1">
      <c r="A138" s="13">
        <v>43374</v>
      </c>
    </row>
    <row r="139" spans="1:1">
      <c r="A139" s="13">
        <v>43405</v>
      </c>
    </row>
    <row r="140" spans="1:1">
      <c r="A140" s="13">
        <v>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2026-07-10T06:37:33Z</dcterms:created>
  <dcterms:modified xsi:type="dcterms:W3CDTF">2026-07-10T09:15:50Z</dcterms:modified>
  <cp:category/>
  <cp:contentStatus/>
</cp:coreProperties>
</file>